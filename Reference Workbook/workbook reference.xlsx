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5" showHorizontalScroll="1" showVerticalScroll="1"/>
  </bookViews>
  <sheets>
    <sheet name="Sections" sheetId="1" state="visible" r:id="rId1"/>
    <sheet name="Time Blocks" sheetId="2" state="visible" r:id="rId2"/>
    <sheet name="Preferences" sheetId="3" state="visible" r:id="rId3"/>
    <sheet name="Workload" sheetId="4" state="visible" r:id="rId4"/>
    <sheet name="Schedule" sheetId="5" state="visible" r:id="rId5"/>
    <sheet name="Summary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<sst xmlns="http://schemas.openxmlformats.org/spreadsheetml/2006/main" count="88" uniqueCount="88">
  <si>
    <t xml:space="preserve">Sections | Course Catalogue | This tab is NOT sent to OR-Tools</t>
  </si>
  <si>
    <t xml:space="preserve">Reference only. Used by administrators. Unique section numbers are the keys shared across all tabs.</t>
  </si>
  <si>
    <t xml:space="preserve">Section ID</t>
  </si>
  <si>
    <t xml:space="preserve">Course #</t>
  </si>
  <si>
    <t xml:space="preserve">Course Title</t>
  </si>
  <si>
    <t>Credits</t>
  </si>
  <si>
    <t xml:space="preserve">Max Seats</t>
  </si>
  <si>
    <t>Level</t>
  </si>
  <si>
    <t>Department</t>
  </si>
  <si>
    <t>CS101-A</t>
  </si>
  <si>
    <t>CS101</t>
  </si>
  <si>
    <t xml:space="preserve">Introduction to CS</t>
  </si>
  <si>
    <t>Undergraduate</t>
  </si>
  <si>
    <t xml:space="preserve">Computer Science</t>
  </si>
  <si>
    <t>CS101-B</t>
  </si>
  <si>
    <t>CS202-A</t>
  </si>
  <si>
    <t>CS202</t>
  </si>
  <si>
    <t xml:space="preserve">Data Structures</t>
  </si>
  <si>
    <t>CS305-A</t>
  </si>
  <si>
    <t>CS305</t>
  </si>
  <si>
    <t xml:space="preserve">Algorithm Design</t>
  </si>
  <si>
    <t>CS410-A</t>
  </si>
  <si>
    <t>CS410</t>
  </si>
  <si>
    <t xml:space="preserve">Machine Learning</t>
  </si>
  <si>
    <t>Graduate</t>
  </si>
  <si>
    <t xml:space="preserve">Time Blocks | Option A: Day + Start/End per Section</t>
  </si>
  <si>
    <t xml:space="preserve">Generates conflict pairs in code: two sections conflict if their Days overlap AND time intervals intersect.</t>
  </si>
  <si>
    <t>Days</t>
  </si>
  <si>
    <t xml:space="preserve">Start Time</t>
  </si>
  <si>
    <t xml:space="preserve">End Time</t>
  </si>
  <si>
    <t>Room</t>
  </si>
  <si>
    <t>MWF</t>
  </si>
  <si>
    <t>08:00</t>
  </si>
  <si>
    <t>09:00</t>
  </si>
  <si>
    <t>HALL-101</t>
  </si>
  <si>
    <t>TTh</t>
  </si>
  <si>
    <t>09:30</t>
  </si>
  <si>
    <t>11:00</t>
  </si>
  <si>
    <t>10:00</t>
  </si>
  <si>
    <t>LAB-205</t>
  </si>
  <si>
    <t>12:00</t>
  </si>
  <si>
    <t>HALL-302</t>
  </si>
  <si>
    <t>14:30</t>
  </si>
  <si>
    <t>16:00</t>
  </si>
  <si>
    <t>LAB-410</t>
  </si>
  <si>
    <t xml:space="preserve">Day Codes:  MWF = Monday / Wednesday / Friday    TTh = Tuesday / Thursday</t>
  </si>
  <si>
    <t xml:space="preserve">Preferences | Faculty preference scores per section  (-3 = strongly avoid, +3 = strongly prefer)</t>
  </si>
  <si>
    <t xml:space="preserve">Sent to OR-Tools as objective weights. Score = how much a faculty member wants to teach that section.</t>
  </si>
  <si>
    <t xml:space="preserve">Dr. Smith</t>
  </si>
  <si>
    <t xml:space="preserve">Dr. Jones</t>
  </si>
  <si>
    <t xml:space="preserve">Dr. Lee</t>
  </si>
  <si>
    <t xml:space="preserve">Dr. Patel</t>
  </si>
  <si>
    <t xml:space="preserve">Dr. Kim</t>
  </si>
  <si>
    <t xml:space="preserve">Dr. Nguyen</t>
  </si>
  <si>
    <t xml:space="preserve">Score Guide:  +3 Strongly Prefer  |  +2 Prefer  |  +1 Slight Prefer  |  0 Neutral  |  -1 Slight Avoid  |  -2 Avoid  |  -3 Strongly Avoid</t>
  </si>
  <si>
    <t xml:space="preserve">Workload | Min / Max teaching load per faculty member</t>
  </si>
  <si>
    <t xml:space="preserve">Sent to OR-Tools as capacity constraints. OR ensures min ≤ assigned sections ≤ max per faculty. Will be changed to workload for final version</t>
  </si>
  <si>
    <t xml:space="preserve">Faculty Name</t>
  </si>
  <si>
    <t xml:space="preserve">Min Sections</t>
  </si>
  <si>
    <t xml:space="preserve">Max Sections</t>
  </si>
  <si>
    <t>Type</t>
  </si>
  <si>
    <t>Notes</t>
  </si>
  <si>
    <t>Full-time</t>
  </si>
  <si>
    <t>Part-time</t>
  </si>
  <si>
    <t xml:space="preserve">Max 1 section per semester</t>
  </si>
  <si>
    <t xml:space="preserve">Schedule | OR-Tools Output   (1 = Assigned  |  0 = Not Assigned)</t>
  </si>
  <si>
    <t xml:space="preserve">Do not edit manually. Each row (section) must sum to exactly 1. Each column (faculty) sum must respect Workload tab.</t>
  </si>
  <si>
    <t xml:space="preserve">Row Sum</t>
  </si>
  <si>
    <t xml:space="preserve">Sections Assigned</t>
  </si>
  <si>
    <t xml:space="preserve">Summary Schedule View</t>
  </si>
  <si>
    <t xml:space="preserve">Derived from Schedule tab. For review and distribution only.</t>
  </si>
  <si>
    <t xml:space="preserve">Section Assignments</t>
  </si>
  <si>
    <t xml:space="preserve">Assigned Faculty</t>
  </si>
  <si>
    <t>Time</t>
  </si>
  <si>
    <t xml:space="preserve">Preference Score</t>
  </si>
  <si>
    <t xml:space="preserve">08:00 – 09:00</t>
  </si>
  <si>
    <t xml:space="preserve">09:30 – 11:00</t>
  </si>
  <si>
    <t xml:space="preserve">10:00 – 11:00</t>
  </si>
  <si>
    <t xml:space="preserve">11:00 – 12:00</t>
  </si>
  <si>
    <t xml:space="preserve">14:30 – 16:00</t>
  </si>
  <si>
    <t xml:space="preserve">Faculty Load Summary</t>
  </si>
  <si>
    <t>Faculty</t>
  </si>
  <si>
    <t xml:space="preserve">Min Required</t>
  </si>
  <si>
    <t xml:space="preserve">Max Allowed</t>
  </si>
  <si>
    <t>Status</t>
  </si>
  <si>
    <t xml:space="preserve">Total Pref Score</t>
  </si>
  <si>
    <t>OK</t>
  </si>
  <si>
    <t>VIOLATION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</si>
</sst>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5">
    <font>
      <sz val="11.000000"/>
      <color theme="1"/>
      <name val="Calibri"/>
      <scheme val="minor"/>
    </font>
    <font>
      <b/>
      <sz val="12.000000"/>
      <color indexed="65"/>
      <name val="Arial"/>
    </font>
    <font>
      <i/>
      <sz val="9.000000"/>
      <color indexed="23"/>
      <name val="Arial"/>
    </font>
    <font>
      <b/>
      <sz val="10.000000"/>
      <color indexed="65"/>
      <name val="Arial"/>
    </font>
    <font>
      <b/>
      <sz val="10.000000"/>
      <name val="Arial"/>
    </font>
    <font>
      <sz val="10.000000"/>
      <name val="Arial"/>
    </font>
    <font>
      <b/>
      <sz val="10.000000"/>
      <color rgb="FF1E8449"/>
      <name val="Arial"/>
    </font>
    <font>
      <sz val="10.000000"/>
      <color rgb="FF1E8449"/>
      <name val="Arial"/>
    </font>
    <font>
      <sz val="10.000000"/>
      <color indexed="23"/>
      <name val="Arial"/>
    </font>
    <font>
      <sz val="10.000000"/>
      <color rgb="FF922B21"/>
      <name val="Arial"/>
    </font>
    <font>
      <b/>
      <sz val="10.000000"/>
      <color rgb="FFE67E22"/>
      <name val="Arial"/>
    </font>
    <font>
      <b/>
      <sz val="10.000000"/>
      <color rgb="FF2E75B6"/>
      <name val="Arial"/>
    </font>
    <font>
      <b/>
      <sz val="11.000000"/>
      <color indexed="65"/>
      <name val="Arial"/>
    </font>
    <font>
      <b/>
      <sz val="10.000000"/>
      <color rgb="FF7030A0"/>
      <name val="Arial"/>
    </font>
    <font>
      <b/>
      <sz val="10.000000"/>
      <color rgb="FF922B21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E67E22"/>
      </patternFill>
    </fill>
    <fill>
      <patternFill patternType="solid">
        <fgColor rgb="FFFDEBD0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1ABC9C"/>
      </patternFill>
    </fill>
    <fill>
      <patternFill patternType="solid">
        <fgColor rgb="FF1E5631"/>
      </patternFill>
    </fill>
    <fill>
      <patternFill patternType="solid">
        <fgColor rgb="FF145A32"/>
      </patternFill>
    </fill>
    <fill>
      <patternFill patternType="solid">
        <fgColor rgb="FF7030A0"/>
      </patternFill>
    </fill>
    <fill>
      <patternFill patternType="solid">
        <fgColor rgb="FFEAD6F5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E75B6"/>
      </bottom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E67E22"/>
      </bottom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ABC9C"/>
      </bottom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E5631"/>
      </bottom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45A32"/>
      </bottom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7030A0"/>
      </bottom>
      <diagonal style="none"/>
    </border>
  </borders>
  <cellStyleXfs count="1">
    <xf fontId="0" fillId="0" borderId="0" numFmtId="0" applyNumberFormat="1" applyFont="1" applyFill="1" applyBorder="1"/>
  </cellStyleXfs>
  <cellXfs count="45">
    <xf fontId="0" fillId="0" borderId="0" numFmtId="0" xfId="0" quotePrefix="0" pivotButton="0"/>
    <xf fontId="1" fillId="2" borderId="0" numFmtId="0" xfId="0" applyFont="1" applyFill="1" applyAlignment="1" quotePrefix="0" pivotButton="0">
      <alignment horizontal="left" indent="1" vertical="center"/>
    </xf>
    <xf fontId="2" fillId="0" borderId="0" numFmtId="0" xfId="0" applyFont="1" applyAlignment="1" quotePrefix="0" pivotButton="0">
      <alignment horizontal="left" indent="1" vertical="center" wrapText="1"/>
    </xf>
    <xf fontId="3" fillId="3" borderId="1" numFmtId="0" xfId="0" applyFont="1" applyFill="1" applyBorder="1" applyAlignment="1" quotePrefix="0" pivotButton="0">
      <alignment horizontal="center" vertical="center"/>
    </xf>
    <xf fontId="4" fillId="4" borderId="2" numFmtId="0" xfId="0" applyFont="1" applyFill="1" applyBorder="1" applyAlignment="1" quotePrefix="0" pivotButton="0">
      <alignment horizontal="left" vertical="center"/>
    </xf>
    <xf fontId="5" fillId="5" borderId="2" numFmtId="0" xfId="0" applyFont="1" applyFill="1" applyBorder="1" applyAlignment="1" quotePrefix="0" pivotButton="0">
      <alignment horizontal="left" vertical="center"/>
    </xf>
    <xf fontId="5" fillId="5" borderId="2" numFmtId="0" xfId="0" applyFont="1" applyFill="1" applyBorder="1" applyAlignment="1" quotePrefix="0" pivotButton="0">
      <alignment horizontal="center" vertical="center"/>
    </xf>
    <xf fontId="5" fillId="0" borderId="2" numFmtId="0" xfId="0" applyFont="1" applyBorder="1" applyAlignment="1" quotePrefix="0" pivotButton="0">
      <alignment horizontal="left" vertical="center"/>
    </xf>
    <xf fontId="5" fillId="0" borderId="2" numFmtId="0" xfId="0" applyFont="1" applyBorder="1" applyAlignment="1" quotePrefix="0" pivotButton="0">
      <alignment horizontal="center" vertical="center"/>
    </xf>
    <xf fontId="1" fillId="6" borderId="0" numFmtId="0" xfId="0" applyFont="1" applyFill="1" applyAlignment="1" quotePrefix="0" pivotButton="0">
      <alignment horizontal="left" indent="1" vertical="center"/>
    </xf>
    <xf fontId="3" fillId="6" borderId="3" numFmtId="0" xfId="0" applyFont="1" applyFill="1" applyBorder="1" applyAlignment="1" quotePrefix="0" pivotButton="0">
      <alignment horizontal="center" vertical="center"/>
    </xf>
    <xf fontId="0" fillId="0" borderId="0" numFmtId="0" xfId="0" applyAlignment="1" quotePrefix="0" pivotButton="0">
      <alignment horizontal="center" vertical="center"/>
    </xf>
    <xf fontId="4" fillId="7" borderId="2" numFmtId="0" xfId="0" applyFont="1" applyFill="1" applyBorder="1" applyAlignment="1" quotePrefix="0" pivotButton="0">
      <alignment horizontal="left" vertical="center"/>
    </xf>
    <xf fontId="4" fillId="8" borderId="2" numFmtId="0" xfId="0" applyFont="1" applyFill="1" applyBorder="1" applyAlignment="1" quotePrefix="0" pivotButton="0">
      <alignment horizontal="center" vertical="center"/>
    </xf>
    <xf fontId="0" fillId="0" borderId="0" numFmtId="0" xfId="0" applyAlignment="1" quotePrefix="0" pivotButton="0">
      <alignment horizontal="left" vertical="center"/>
    </xf>
    <xf fontId="4" fillId="9" borderId="2" numFmtId="0" xfId="0" applyFont="1" applyFill="1" applyBorder="1" applyAlignment="1" quotePrefix="0" pivotButton="0">
      <alignment horizontal="center" vertical="center"/>
    </xf>
    <xf fontId="3" fillId="2" borderId="4" numFmtId="0" xfId="0" applyFont="1" applyFill="1" applyBorder="1" applyAlignment="1" quotePrefix="0" pivotButton="0">
      <alignment horizontal="center" vertical="center"/>
    </xf>
    <xf fontId="6" fillId="10" borderId="2" numFmtId="0" xfId="0" applyFont="1" applyFill="1" applyBorder="1" applyAlignment="1" quotePrefix="0" pivotButton="0">
      <alignment horizontal="center" vertical="center"/>
    </xf>
    <xf fontId="7" fillId="10" borderId="2" numFmtId="0" xfId="0" applyFont="1" applyFill="1" applyBorder="1" applyAlignment="1" quotePrefix="0" pivotButton="0">
      <alignment horizontal="center" vertical="center"/>
    </xf>
    <xf fontId="8" fillId="5" borderId="2" numFmtId="0" xfId="0" applyFont="1" applyFill="1" applyBorder="1" applyAlignment="1" quotePrefix="0" pivotButton="0">
      <alignment horizontal="center" vertical="center"/>
    </xf>
    <xf fontId="9" fillId="11" borderId="2" numFmtId="0" xfId="0" applyFont="1" applyFill="1" applyBorder="1" applyAlignment="1" quotePrefix="0" pivotButton="0">
      <alignment horizontal="center" vertical="center"/>
    </xf>
    <xf fontId="2" fillId="0" borderId="0" numFmtId="0" xfId="0" applyFont="1" applyAlignment="1" quotePrefix="0" pivotButton="0">
      <alignment horizontal="left" vertical="center"/>
    </xf>
    <xf fontId="1" fillId="12" borderId="0" numFmtId="0" xfId="0" applyFont="1" applyFill="1" applyAlignment="1" quotePrefix="0" pivotButton="0">
      <alignment horizontal="left" indent="1" vertical="center"/>
    </xf>
    <xf fontId="3" fillId="12" borderId="5" numFmtId="0" xfId="0" applyFont="1" applyFill="1" applyBorder="1" applyAlignment="1" quotePrefix="0" pivotButton="0">
      <alignment horizontal="center" vertical="center"/>
    </xf>
    <xf fontId="4" fillId="10" borderId="2" numFmtId="0" xfId="0" applyFont="1" applyFill="1" applyBorder="1" applyAlignment="1" quotePrefix="0" pivotButton="0">
      <alignment horizontal="left" vertical="center"/>
    </xf>
    <xf fontId="8" fillId="5" borderId="2" numFmtId="0" xfId="0" applyFont="1" applyFill="1" applyBorder="1" applyAlignment="1" quotePrefix="0" pivotButton="0">
      <alignment horizontal="left" vertical="center"/>
    </xf>
    <xf fontId="8" fillId="0" borderId="2" numFmtId="0" xfId="0" applyFont="1" applyBorder="1" applyAlignment="1" quotePrefix="0" pivotButton="0">
      <alignment horizontal="left" vertical="center"/>
    </xf>
    <xf fontId="5" fillId="7" borderId="2" numFmtId="0" xfId="0" applyFont="1" applyFill="1" applyBorder="1" applyAlignment="1" quotePrefix="0" pivotButton="0">
      <alignment horizontal="center" vertical="center"/>
    </xf>
    <xf fontId="10" fillId="7" borderId="2" numFmtId="0" xfId="0" applyFont="1" applyFill="1" applyBorder="1" applyAlignment="1" quotePrefix="0" pivotButton="0">
      <alignment horizontal="center" vertical="center"/>
    </xf>
    <xf fontId="8" fillId="7" borderId="2" numFmtId="0" xfId="0" applyFont="1" applyFill="1" applyBorder="1" applyAlignment="1" quotePrefix="0" pivotButton="0">
      <alignment horizontal="left" vertical="center"/>
    </xf>
    <xf fontId="1" fillId="13" borderId="0" numFmtId="0" xfId="0" applyFont="1" applyFill="1" applyAlignment="1" quotePrefix="0" pivotButton="0">
      <alignment horizontal="left" indent="1" vertical="center"/>
    </xf>
    <xf fontId="3" fillId="13" borderId="6" numFmtId="0" xfId="0" applyFont="1" applyFill="1" applyBorder="1" applyAlignment="1" quotePrefix="0" pivotButton="0">
      <alignment horizontal="center" vertical="center"/>
    </xf>
    <xf fontId="3" fillId="14" borderId="7" numFmtId="0" xfId="0" applyFont="1" applyFill="1" applyBorder="1" applyAlignment="1" quotePrefix="0" pivotButton="0">
      <alignment horizontal="center" vertical="center"/>
    </xf>
    <xf fontId="8" fillId="0" borderId="2" numFmtId="0" xfId="0" applyFont="1" applyBorder="1" applyAlignment="1" quotePrefix="0" pivotButton="0">
      <alignment horizontal="center" vertical="center"/>
    </xf>
    <xf fontId="11" fillId="4" borderId="2" numFmtId="0" xfId="0" applyFont="1" applyFill="1" applyBorder="1" applyAlignment="1" quotePrefix="0" pivotButton="0">
      <alignment horizontal="center" vertical="center"/>
    </xf>
    <xf fontId="1" fillId="15" borderId="0" numFmtId="0" xfId="0" applyFont="1" applyFill="1" applyAlignment="1" quotePrefix="0" pivotButton="0">
      <alignment horizontal="left" indent="1" vertical="center"/>
    </xf>
    <xf fontId="12" fillId="15" borderId="0" numFmtId="0" xfId="0" applyFont="1" applyFill="1" applyAlignment="1" quotePrefix="0" pivotButton="0">
      <alignment horizontal="left" vertical="center"/>
    </xf>
    <xf fontId="3" fillId="15" borderId="8" numFmtId="0" xfId="0" applyFont="1" applyFill="1" applyBorder="1" applyAlignment="1" quotePrefix="0" pivotButton="0">
      <alignment horizontal="center" vertical="center"/>
    </xf>
    <xf fontId="4" fillId="16" borderId="2" numFmtId="0" xfId="0" applyFont="1" applyFill="1" applyBorder="1" applyAlignment="1" quotePrefix="0" pivotButton="0">
      <alignment horizontal="left" vertical="center"/>
    </xf>
    <xf fontId="13" fillId="0" borderId="2" numFmtId="0" xfId="0" applyFont="1" applyBorder="1" applyAlignment="1" quotePrefix="0" pivotButton="0">
      <alignment horizontal="left" vertical="center"/>
    </xf>
    <xf fontId="13" fillId="5" borderId="2" numFmtId="0" xfId="0" applyFont="1" applyFill="1" applyBorder="1" applyAlignment="1" quotePrefix="0" pivotButton="0">
      <alignment horizontal="left" vertical="center"/>
    </xf>
    <xf fontId="6" fillId="5" borderId="2" numFmtId="0" xfId="0" applyFont="1" applyFill="1" applyBorder="1" applyAlignment="1" quotePrefix="0" pivotButton="0">
      <alignment horizontal="center" vertical="center"/>
    </xf>
    <xf fontId="6" fillId="0" borderId="2" numFmtId="0" xfId="0" applyFont="1" applyBorder="1" applyAlignment="1" quotePrefix="0" pivotButton="0">
      <alignment horizontal="center" vertical="center"/>
    </xf>
    <xf fontId="14" fillId="11" borderId="2" numFmtId="0" xfId="0" applyFont="1" applyFill="1" applyBorder="1" applyAlignment="1" quotePrefix="0" pivotButton="0">
      <alignment horizontal="center" vertical="center"/>
    </xf>
    <xf fontId="14" fillId="0" borderId="2" numFmtId="0" xfId="0" applyFont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3"/>
    <outlinePr applyStyles="0" summaryBelow="1" summaryRight="1" showOutlineSymbols="1"/>
    <pageSetUpPr autoPageBreaks="1" fitToPage="0"/>
  </sheetPr>
  <sheetViews>
    <sheetView topLeftCell="A1" zoomScale="100" workbookViewId="0">
      <pane ySplit="3" topLeftCell="A4" activePane="bottomLeft" state="frozen"/>
      <selection activeCell="A1" activeCellId="0" sqref="A1"/>
    </sheetView>
  </sheetViews>
  <sheetFormatPr baseColWidth="8" defaultRowHeight="14.25"/>
  <cols>
    <col customWidth="1" min="1" max="1" width="14"/>
    <col customWidth="1" min="2" max="2" width="12"/>
    <col customWidth="1" min="3" max="3" width="28"/>
    <col customWidth="1" min="4" max="4" width="10"/>
    <col customWidth="1" min="5" max="5" width="12"/>
    <col customWidth="1" min="6" max="6" width="16"/>
    <col customWidth="1" min="7" max="7" width="20"/>
  </cols>
  <sheetData>
    <row r="1" ht="24" customHeight="1">
      <c r="A1" s="1" t="s">
        <v>0</v>
      </c>
    </row>
    <row r="2" ht="18" customHeight="1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>
      <c r="A4" s="4" t="s">
        <v>9</v>
      </c>
      <c r="B4" s="5" t="s">
        <v>10</v>
      </c>
      <c r="C4" s="5" t="s">
        <v>11</v>
      </c>
      <c r="D4" s="6">
        <v>3</v>
      </c>
      <c r="E4" s="6">
        <v>30</v>
      </c>
      <c r="F4" s="5" t="s">
        <v>12</v>
      </c>
      <c r="G4" s="5" t="s">
        <v>13</v>
      </c>
    </row>
    <row r="5">
      <c r="A5" s="4" t="s">
        <v>14</v>
      </c>
      <c r="B5" s="7" t="s">
        <v>10</v>
      </c>
      <c r="C5" s="7" t="s">
        <v>11</v>
      </c>
      <c r="D5" s="8">
        <v>3</v>
      </c>
      <c r="E5" s="8">
        <v>30</v>
      </c>
      <c r="F5" s="7" t="s">
        <v>12</v>
      </c>
      <c r="G5" s="7" t="s">
        <v>13</v>
      </c>
    </row>
    <row r="6">
      <c r="A6" s="4" t="s">
        <v>15</v>
      </c>
      <c r="B6" s="5" t="s">
        <v>16</v>
      </c>
      <c r="C6" s="5" t="s">
        <v>17</v>
      </c>
      <c r="D6" s="6">
        <v>3</v>
      </c>
      <c r="E6" s="6">
        <v>25</v>
      </c>
      <c r="F6" s="5" t="s">
        <v>12</v>
      </c>
      <c r="G6" s="5" t="s">
        <v>13</v>
      </c>
    </row>
    <row r="7">
      <c r="A7" s="4" t="s">
        <v>18</v>
      </c>
      <c r="B7" s="7" t="s">
        <v>19</v>
      </c>
      <c r="C7" s="7" t="s">
        <v>20</v>
      </c>
      <c r="D7" s="8">
        <v>3</v>
      </c>
      <c r="E7" s="8">
        <v>20</v>
      </c>
      <c r="F7" s="7" t="s">
        <v>12</v>
      </c>
      <c r="G7" s="7" t="s">
        <v>13</v>
      </c>
    </row>
    <row r="8">
      <c r="A8" s="4" t="s">
        <v>21</v>
      </c>
      <c r="B8" s="5" t="s">
        <v>22</v>
      </c>
      <c r="C8" s="5" t="s">
        <v>23</v>
      </c>
      <c r="D8" s="6">
        <v>3</v>
      </c>
      <c r="E8" s="6">
        <v>18</v>
      </c>
      <c r="F8" s="5" t="s">
        <v>24</v>
      </c>
      <c r="G8" s="5" t="s">
        <v>13</v>
      </c>
    </row>
  </sheetData>
  <mergeCells count="2">
    <mergeCell ref="A1:G1"/>
    <mergeCell ref="A2:G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E67E22"/>
    <outlinePr applyStyles="0" summaryBelow="1" summaryRight="1" showOutlineSymbols="1"/>
    <pageSetUpPr autoPageBreaks="1" fitToPage="0"/>
  </sheetPr>
  <sheetViews>
    <sheetView topLeftCell="A1" zoomScale="100" workbookViewId="0">
      <pane ySplit="3" topLeftCell="A4" activePane="bottomLeft" state="frozen"/>
      <selection activeCell="A1" activeCellId="0" sqref="A1"/>
    </sheetView>
  </sheetViews>
  <sheetFormatPr baseColWidth="8" defaultRowHeight="15"/>
  <cols>
    <col customWidth="1" min="1" max="1" width="14"/>
    <col customWidth="1" min="2" max="2" width="10"/>
    <col customWidth="1" min="3" max="5" width="13"/>
    <col customWidth="1" min="6" max="6" width="18"/>
  </cols>
  <sheetData>
    <row r="1" ht="24" customHeight="1">
      <c r="A1" s="9" t="s">
        <v>25</v>
      </c>
    </row>
    <row r="2" ht="18" customHeight="1">
      <c r="A2" s="2" t="s">
        <v>26</v>
      </c>
    </row>
    <row r="3">
      <c r="A3" s="10" t="s">
        <v>2</v>
      </c>
      <c r="B3" s="10" t="s">
        <v>27</v>
      </c>
      <c r="C3" s="10" t="s">
        <v>28</v>
      </c>
      <c r="D3" s="10" t="s">
        <v>29</v>
      </c>
      <c r="E3" s="10" t="s">
        <v>30</v>
      </c>
      <c r="F3" s="11"/>
    </row>
    <row r="4">
      <c r="A4" s="12" t="s">
        <v>9</v>
      </c>
      <c r="B4" s="13" t="s">
        <v>31</v>
      </c>
      <c r="C4" s="6" t="s">
        <v>32</v>
      </c>
      <c r="D4" s="6" t="s">
        <v>33</v>
      </c>
      <c r="E4" s="5" t="s">
        <v>34</v>
      </c>
      <c r="F4" s="14"/>
    </row>
    <row r="5">
      <c r="A5" s="12" t="s">
        <v>14</v>
      </c>
      <c r="B5" s="15" t="s">
        <v>35</v>
      </c>
      <c r="C5" s="8" t="s">
        <v>36</v>
      </c>
      <c r="D5" s="8" t="s">
        <v>37</v>
      </c>
      <c r="E5" s="7" t="s">
        <v>34</v>
      </c>
      <c r="F5" s="14"/>
    </row>
    <row r="6">
      <c r="A6" s="12" t="s">
        <v>15</v>
      </c>
      <c r="B6" s="13" t="s">
        <v>31</v>
      </c>
      <c r="C6" s="6" t="s">
        <v>38</v>
      </c>
      <c r="D6" s="6" t="s">
        <v>37</v>
      </c>
      <c r="E6" s="5" t="s">
        <v>39</v>
      </c>
      <c r="F6" s="14"/>
    </row>
    <row r="7">
      <c r="A7" s="12" t="s">
        <v>18</v>
      </c>
      <c r="B7" s="13" t="s">
        <v>31</v>
      </c>
      <c r="C7" s="8" t="s">
        <v>37</v>
      </c>
      <c r="D7" s="8" t="s">
        <v>40</v>
      </c>
      <c r="E7" s="7" t="s">
        <v>41</v>
      </c>
      <c r="F7" s="14"/>
    </row>
    <row r="8">
      <c r="A8" s="12" t="s">
        <v>21</v>
      </c>
      <c r="B8" s="15" t="s">
        <v>35</v>
      </c>
      <c r="C8" s="6" t="s">
        <v>42</v>
      </c>
      <c r="D8" s="6" t="s">
        <v>43</v>
      </c>
      <c r="E8" s="5" t="s">
        <v>44</v>
      </c>
      <c r="F8" s="14"/>
    </row>
    <row r="10" ht="8" customHeight="1"/>
    <row r="11" ht="18" customHeight="1">
      <c r="A11" s="2" t="s">
        <v>45</v>
      </c>
    </row>
  </sheetData>
  <mergeCells count="3">
    <mergeCell ref="A2:F2"/>
    <mergeCell ref="A11:F11"/>
    <mergeCell ref="A1:F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E75B6"/>
    <outlinePr applyStyles="0" summaryBelow="1" summaryRight="1" showOutlineSymbols="1"/>
    <pageSetUpPr autoPageBreaks="1" fitToPage="0"/>
  </sheetPr>
  <sheetViews>
    <sheetView zoomScale="100" workbookViewId="0">
      <pane xSplit="1" ySplit="3" topLeftCell="B4" activePane="bottomRight" state="frozen"/>
      <selection activeCell="A1" activeCellId="0" sqref="A1"/>
    </sheetView>
  </sheetViews>
  <sheetFormatPr baseColWidth="8" defaultRowHeight="15"/>
  <cols>
    <col customWidth="1" min="1" max="1" width="14"/>
    <col customWidth="1" min="2" max="7" width="13"/>
  </cols>
  <sheetData>
    <row r="1" ht="24" customHeight="1">
      <c r="A1" s="1" t="s">
        <v>46</v>
      </c>
    </row>
    <row r="2" ht="18" customHeight="1">
      <c r="A2" s="2" t="s">
        <v>47</v>
      </c>
    </row>
    <row r="3">
      <c r="A3" s="16" t="s">
        <v>2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</row>
    <row r="4">
      <c r="A4" s="4" t="s">
        <v>9</v>
      </c>
      <c r="B4" s="17">
        <v>3</v>
      </c>
      <c r="C4" s="18">
        <v>1</v>
      </c>
      <c r="D4" s="19">
        <v>0</v>
      </c>
      <c r="E4" s="20">
        <v>-1</v>
      </c>
      <c r="F4" s="18">
        <v>2</v>
      </c>
      <c r="G4" s="18">
        <v>1</v>
      </c>
    </row>
    <row r="5">
      <c r="A5" s="4" t="s">
        <v>14</v>
      </c>
      <c r="B5" s="18">
        <v>2</v>
      </c>
      <c r="C5" s="17">
        <v>3</v>
      </c>
      <c r="D5" s="18">
        <v>1</v>
      </c>
      <c r="E5" s="19">
        <v>0</v>
      </c>
      <c r="F5" s="20">
        <v>-1</v>
      </c>
      <c r="G5" s="18">
        <v>2</v>
      </c>
    </row>
    <row r="6">
      <c r="A6" s="4" t="s">
        <v>15</v>
      </c>
      <c r="B6" s="19">
        <v>0</v>
      </c>
      <c r="C6" s="18">
        <v>2</v>
      </c>
      <c r="D6" s="17">
        <v>3</v>
      </c>
      <c r="E6" s="18">
        <v>1</v>
      </c>
      <c r="F6" s="20">
        <v>-2</v>
      </c>
      <c r="G6" s="19">
        <v>0</v>
      </c>
    </row>
    <row r="7">
      <c r="A7" s="4" t="s">
        <v>18</v>
      </c>
      <c r="B7" s="18">
        <v>1</v>
      </c>
      <c r="C7" s="20">
        <v>-1</v>
      </c>
      <c r="D7" s="18">
        <v>1</v>
      </c>
      <c r="E7" s="18">
        <v>2</v>
      </c>
      <c r="F7" s="17">
        <v>3</v>
      </c>
      <c r="G7" s="20">
        <v>-1</v>
      </c>
    </row>
    <row r="8">
      <c r="A8" s="4" t="s">
        <v>21</v>
      </c>
      <c r="B8" s="18">
        <v>2</v>
      </c>
      <c r="C8" s="18">
        <v>1</v>
      </c>
      <c r="D8" s="20">
        <v>-1</v>
      </c>
      <c r="E8" s="19">
        <v>0</v>
      </c>
      <c r="F8" s="17">
        <v>3</v>
      </c>
      <c r="G8" s="18">
        <v>2</v>
      </c>
    </row>
    <row r="10" ht="16" customHeight="1">
      <c r="A10" s="21" t="s">
        <v>54</v>
      </c>
    </row>
  </sheetData>
  <mergeCells count="3">
    <mergeCell ref="A2:G2"/>
    <mergeCell ref="A1:G1"/>
    <mergeCell ref="A10:G10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1ABC9C"/>
    <outlinePr applyStyles="0" summaryBelow="1" summaryRight="1" showOutlineSymbols="1"/>
    <pageSetUpPr autoPageBreaks="1" fitToPage="0"/>
  </sheetPr>
  <sheetViews>
    <sheetView topLeftCell="A1" zoomScale="100" workbookViewId="0">
      <pane ySplit="3" topLeftCell="A4" activePane="bottomLeft" state="frozen"/>
      <selection activeCell="A1" activeCellId="0" sqref="A1"/>
    </sheetView>
  </sheetViews>
  <sheetFormatPr baseColWidth="8" defaultRowHeight="15"/>
  <cols>
    <col customWidth="1" min="1" max="1" width="18"/>
    <col customWidth="1" min="2" max="4" width="14"/>
    <col customWidth="1" min="5" max="5" width="30"/>
  </cols>
  <sheetData>
    <row r="1" ht="24" customHeight="1">
      <c r="A1" s="22" t="s">
        <v>55</v>
      </c>
    </row>
    <row r="2" ht="18" customHeight="1">
      <c r="A2" s="2" t="s">
        <v>56</v>
      </c>
    </row>
    <row r="3">
      <c r="A3" s="23" t="s">
        <v>57</v>
      </c>
      <c r="B3" s="23" t="s">
        <v>58</v>
      </c>
      <c r="C3" s="23" t="s">
        <v>59</v>
      </c>
      <c r="D3" s="23" t="s">
        <v>60</v>
      </c>
      <c r="E3" s="23" t="s">
        <v>61</v>
      </c>
    </row>
    <row r="4">
      <c r="A4" s="24" t="s">
        <v>48</v>
      </c>
      <c r="B4" s="6">
        <v>1</v>
      </c>
      <c r="C4" s="6">
        <v>2</v>
      </c>
      <c r="D4" s="6" t="s">
        <v>62</v>
      </c>
      <c r="E4" s="25"/>
    </row>
    <row r="5">
      <c r="A5" s="24" t="s">
        <v>49</v>
      </c>
      <c r="B5" s="8">
        <v>1</v>
      </c>
      <c r="C5" s="8">
        <v>2</v>
      </c>
      <c r="D5" s="8" t="s">
        <v>62</v>
      </c>
      <c r="E5" s="26"/>
    </row>
    <row r="6">
      <c r="A6" s="24" t="s">
        <v>50</v>
      </c>
      <c r="B6" s="6">
        <v>1</v>
      </c>
      <c r="C6" s="6">
        <v>2</v>
      </c>
      <c r="D6" s="6" t="s">
        <v>62</v>
      </c>
      <c r="E6" s="25"/>
    </row>
    <row r="7">
      <c r="A7" s="24" t="s">
        <v>51</v>
      </c>
      <c r="B7" s="8">
        <v>1</v>
      </c>
      <c r="C7" s="8">
        <v>2</v>
      </c>
      <c r="D7" s="8" t="s">
        <v>62</v>
      </c>
      <c r="E7" s="26"/>
    </row>
    <row r="8">
      <c r="A8" s="24" t="s">
        <v>52</v>
      </c>
      <c r="B8" s="6">
        <v>1</v>
      </c>
      <c r="C8" s="6">
        <v>2</v>
      </c>
      <c r="D8" s="6" t="s">
        <v>62</v>
      </c>
      <c r="E8" s="25"/>
    </row>
    <row r="9">
      <c r="A9" s="24" t="s">
        <v>53</v>
      </c>
      <c r="B9" s="27">
        <v>0</v>
      </c>
      <c r="C9" s="27">
        <v>1</v>
      </c>
      <c r="D9" s="28" t="s">
        <v>63</v>
      </c>
      <c r="E9" s="29" t="s">
        <v>64</v>
      </c>
    </row>
  </sheetData>
  <mergeCells count="2">
    <mergeCell ref="A2:E2"/>
    <mergeCell ref="A1:E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1E8449"/>
    <outlinePr applyStyles="0" summaryBelow="1" summaryRight="1" showOutlineSymbols="1"/>
    <pageSetUpPr autoPageBreaks="1" fitToPage="0"/>
  </sheetPr>
  <sheetViews>
    <sheetView zoomScale="100" workbookViewId="0">
      <pane xSplit="1" ySplit="3" topLeftCell="B4" activePane="bottomRight" state="frozen"/>
      <selection activeCell="A1" activeCellId="0" sqref="A1"/>
    </sheetView>
  </sheetViews>
  <sheetFormatPr baseColWidth="8" defaultRowHeight="15"/>
  <cols>
    <col customWidth="1" min="1" max="1" width="14"/>
    <col customWidth="1" min="2" max="8" width="13"/>
  </cols>
  <sheetData>
    <row r="1" ht="24" customHeight="1">
      <c r="A1" s="30" t="s">
        <v>65</v>
      </c>
    </row>
    <row r="2" ht="18" customHeight="1">
      <c r="A2" s="2" t="s">
        <v>66</v>
      </c>
    </row>
    <row r="3">
      <c r="A3" s="31" t="s">
        <v>2</v>
      </c>
      <c r="B3" s="31" t="s">
        <v>48</v>
      </c>
      <c r="C3" s="31" t="s">
        <v>49</v>
      </c>
      <c r="D3" s="31" t="s">
        <v>50</v>
      </c>
      <c r="E3" s="31" t="s">
        <v>51</v>
      </c>
      <c r="F3" s="31" t="s">
        <v>52</v>
      </c>
      <c r="G3" s="31" t="s">
        <v>53</v>
      </c>
      <c r="H3" s="32" t="s">
        <v>67</v>
      </c>
    </row>
    <row r="4">
      <c r="A4" s="24" t="s">
        <v>9</v>
      </c>
      <c r="B4" s="17">
        <v>1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7">
        <f t="shared" ref="H4:H8" si="0">SUM(B4:G4)</f>
        <v>1</v>
      </c>
    </row>
    <row r="5">
      <c r="A5" s="24" t="s">
        <v>14</v>
      </c>
      <c r="B5" s="33">
        <v>0</v>
      </c>
      <c r="C5" s="17">
        <v>1</v>
      </c>
      <c r="D5" s="33">
        <v>0</v>
      </c>
      <c r="E5" s="33">
        <v>0</v>
      </c>
      <c r="F5" s="33">
        <v>0</v>
      </c>
      <c r="G5" s="33">
        <v>0</v>
      </c>
      <c r="H5" s="17">
        <f t="shared" si="0"/>
        <v>1</v>
      </c>
    </row>
    <row r="6">
      <c r="A6" s="24" t="s">
        <v>15</v>
      </c>
      <c r="B6" s="19">
        <v>0</v>
      </c>
      <c r="C6" s="19">
        <v>0</v>
      </c>
      <c r="D6" s="17">
        <v>1</v>
      </c>
      <c r="E6" s="19">
        <v>0</v>
      </c>
      <c r="F6" s="19">
        <v>0</v>
      </c>
      <c r="G6" s="19">
        <v>0</v>
      </c>
      <c r="H6" s="17">
        <f t="shared" si="0"/>
        <v>1</v>
      </c>
    </row>
    <row r="7">
      <c r="A7" s="24" t="s">
        <v>18</v>
      </c>
      <c r="B7" s="33">
        <v>0</v>
      </c>
      <c r="C7" s="33">
        <v>0</v>
      </c>
      <c r="D7" s="33">
        <v>0</v>
      </c>
      <c r="E7" s="33">
        <v>0</v>
      </c>
      <c r="F7" s="17">
        <v>1</v>
      </c>
      <c r="G7" s="33">
        <v>0</v>
      </c>
      <c r="H7" s="17">
        <f t="shared" si="0"/>
        <v>1</v>
      </c>
    </row>
    <row r="8">
      <c r="A8" s="24" t="s">
        <v>21</v>
      </c>
      <c r="B8" s="19">
        <v>0</v>
      </c>
      <c r="C8" s="19">
        <v>0</v>
      </c>
      <c r="D8" s="19">
        <v>0</v>
      </c>
      <c r="E8" s="19">
        <v>0</v>
      </c>
      <c r="F8" s="19">
        <v>0</v>
      </c>
      <c r="G8" s="17">
        <v>1</v>
      </c>
      <c r="H8" s="17">
        <f t="shared" si="0"/>
        <v>1</v>
      </c>
    </row>
    <row r="9">
      <c r="A9" s="4" t="s">
        <v>68</v>
      </c>
      <c r="B9" s="34">
        <f>SUM(B4:B8)</f>
        <v>1</v>
      </c>
      <c r="C9" s="34">
        <f>SUM(C4:C8)</f>
        <v>1</v>
      </c>
      <c r="D9" s="34">
        <f>SUM(D4:D8)</f>
        <v>1</v>
      </c>
      <c r="E9" s="34">
        <f>SUM(E4:E8)</f>
        <v>0</v>
      </c>
      <c r="F9" s="34">
        <f>SUM(F4:F8)</f>
        <v>1</v>
      </c>
      <c r="G9" s="34">
        <f>SUM(G4:G8)</f>
        <v>1</v>
      </c>
    </row>
  </sheetData>
  <mergeCells count="2">
    <mergeCell ref="A2:G2"/>
    <mergeCell ref="A1:G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7030A0"/>
    <outlinePr applyStyles="0" summaryBelow="1" summaryRight="1" showOutlineSymbols="1"/>
    <pageSetUpPr autoPageBreaks="1" fitToPage="0"/>
  </sheetPr>
  <sheetViews>
    <sheetView topLeftCell="A1" zoomScale="100" workbookViewId="0">
      <pane ySplit="4" topLeftCell="A5" activePane="bottomLeft" state="frozen"/>
      <selection activeCell="A1" activeCellId="0" sqref="A1"/>
    </sheetView>
  </sheetViews>
  <sheetFormatPr baseColWidth="8" defaultRowHeight="15"/>
  <cols>
    <col customWidth="1" min="1" max="1" width="18"/>
    <col customWidth="1" min="2" max="2" width="26"/>
    <col customWidth="1" min="3" max="3" width="18"/>
    <col customWidth="1" min="4" max="4" width="14"/>
    <col customWidth="1" min="5" max="5" width="17"/>
    <col customWidth="1" min="6" max="6" width="18"/>
  </cols>
  <sheetData>
    <row r="1" ht="24" customHeight="1">
      <c r="A1" s="35" t="s">
        <v>69</v>
      </c>
    </row>
    <row r="2" ht="18" customHeight="1">
      <c r="A2" s="2" t="s">
        <v>70</v>
      </c>
    </row>
    <row r="3" ht="20" customHeight="1">
      <c r="A3" s="36" t="s">
        <v>71</v>
      </c>
    </row>
    <row r="4">
      <c r="A4" s="37" t="s">
        <v>2</v>
      </c>
      <c r="B4" s="37" t="s">
        <v>4</v>
      </c>
      <c r="C4" s="37" t="s">
        <v>72</v>
      </c>
      <c r="D4" s="37" t="s">
        <v>27</v>
      </c>
      <c r="E4" s="37" t="s">
        <v>73</v>
      </c>
      <c r="F4" s="37" t="s">
        <v>74</v>
      </c>
    </row>
    <row r="5">
      <c r="A5" s="38" t="s">
        <v>9</v>
      </c>
      <c r="B5" s="7" t="s">
        <v>11</v>
      </c>
      <c r="C5" s="39" t="s">
        <v>48</v>
      </c>
      <c r="D5" s="8" t="s">
        <v>31</v>
      </c>
      <c r="E5" s="8" t="s">
        <v>75</v>
      </c>
      <c r="F5" s="17">
        <v>3</v>
      </c>
    </row>
    <row r="6">
      <c r="A6" s="38" t="s">
        <v>14</v>
      </c>
      <c r="B6" s="5" t="s">
        <v>11</v>
      </c>
      <c r="C6" s="40" t="s">
        <v>49</v>
      </c>
      <c r="D6" s="6" t="s">
        <v>35</v>
      </c>
      <c r="E6" s="6" t="s">
        <v>76</v>
      </c>
      <c r="F6" s="17">
        <v>3</v>
      </c>
    </row>
    <row r="7">
      <c r="A7" s="38" t="s">
        <v>15</v>
      </c>
      <c r="B7" s="7" t="s">
        <v>17</v>
      </c>
      <c r="C7" s="39" t="s">
        <v>50</v>
      </c>
      <c r="D7" s="8" t="s">
        <v>31</v>
      </c>
      <c r="E7" s="8" t="s">
        <v>77</v>
      </c>
      <c r="F7" s="17">
        <v>3</v>
      </c>
    </row>
    <row r="8">
      <c r="A8" s="38" t="s">
        <v>18</v>
      </c>
      <c r="B8" s="5" t="s">
        <v>20</v>
      </c>
      <c r="C8" s="40" t="s">
        <v>52</v>
      </c>
      <c r="D8" s="6" t="s">
        <v>31</v>
      </c>
      <c r="E8" s="6" t="s">
        <v>78</v>
      </c>
      <c r="F8" s="17">
        <v>3</v>
      </c>
    </row>
    <row r="9">
      <c r="A9" s="38" t="s">
        <v>21</v>
      </c>
      <c r="B9" s="7" t="s">
        <v>23</v>
      </c>
      <c r="C9" s="39" t="s">
        <v>53</v>
      </c>
      <c r="D9" s="8" t="s">
        <v>35</v>
      </c>
      <c r="E9" s="8" t="s">
        <v>79</v>
      </c>
      <c r="F9" s="17">
        <v>2</v>
      </c>
    </row>
    <row r="11" ht="8" customHeight="1"/>
    <row r="12" ht="20" customHeight="1">
      <c r="A12" s="36" t="s">
        <v>80</v>
      </c>
    </row>
    <row r="13">
      <c r="A13" s="37" t="s">
        <v>81</v>
      </c>
      <c r="B13" s="37" t="s">
        <v>68</v>
      </c>
      <c r="C13" s="37" t="s">
        <v>82</v>
      </c>
      <c r="D13" s="37" t="s">
        <v>83</v>
      </c>
      <c r="E13" s="37" t="s">
        <v>84</v>
      </c>
      <c r="F13" s="37" t="s">
        <v>85</v>
      </c>
    </row>
    <row r="14">
      <c r="A14" s="38" t="s">
        <v>48</v>
      </c>
      <c r="B14" s="6">
        <v>1</v>
      </c>
      <c r="C14" s="6">
        <v>1</v>
      </c>
      <c r="D14" s="6">
        <v>2</v>
      </c>
      <c r="E14" s="17" t="s">
        <v>86</v>
      </c>
      <c r="F14" s="41">
        <v>3</v>
      </c>
    </row>
    <row r="15">
      <c r="A15" s="38" t="s">
        <v>49</v>
      </c>
      <c r="B15" s="8">
        <v>1</v>
      </c>
      <c r="C15" s="8">
        <v>1</v>
      </c>
      <c r="D15" s="8">
        <v>2</v>
      </c>
      <c r="E15" s="17" t="s">
        <v>86</v>
      </c>
      <c r="F15" s="42">
        <v>3</v>
      </c>
    </row>
    <row r="16">
      <c r="A16" s="38" t="s">
        <v>50</v>
      </c>
      <c r="B16" s="6">
        <v>1</v>
      </c>
      <c r="C16" s="6">
        <v>1</v>
      </c>
      <c r="D16" s="6">
        <v>2</v>
      </c>
      <c r="E16" s="17" t="s">
        <v>86</v>
      </c>
      <c r="F16" s="41">
        <v>3</v>
      </c>
    </row>
    <row r="17">
      <c r="A17" s="38" t="s">
        <v>51</v>
      </c>
      <c r="B17" s="8">
        <v>0</v>
      </c>
      <c r="C17" s="8">
        <v>1</v>
      </c>
      <c r="D17" s="8">
        <v>2</v>
      </c>
      <c r="E17" s="43" t="s">
        <v>87</v>
      </c>
      <c r="F17" s="44">
        <v>0</v>
      </c>
    </row>
    <row r="18">
      <c r="A18" s="38" t="s">
        <v>52</v>
      </c>
      <c r="B18" s="6">
        <v>1</v>
      </c>
      <c r="C18" s="6">
        <v>1</v>
      </c>
      <c r="D18" s="6">
        <v>2</v>
      </c>
      <c r="E18" s="17" t="s">
        <v>86</v>
      </c>
      <c r="F18" s="41">
        <v>3</v>
      </c>
    </row>
    <row r="19">
      <c r="A19" s="38" t="s">
        <v>53</v>
      </c>
      <c r="B19" s="8">
        <v>1</v>
      </c>
      <c r="C19" s="8">
        <v>0</v>
      </c>
      <c r="D19" s="8">
        <v>1</v>
      </c>
      <c r="E19" s="17" t="s">
        <v>86</v>
      </c>
      <c r="F19" s="42">
        <v>2</v>
      </c>
    </row>
  </sheetData>
  <mergeCells count="4">
    <mergeCell ref="A3:F3"/>
    <mergeCell ref="A2:F2"/>
    <mergeCell ref="A1:F1"/>
    <mergeCell ref="A12:F1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2026-03-10T01:13:55Z</dcterms:created>
  <dcterms:modified xsi:type="dcterms:W3CDTF">2026-03-10T15:02:28Z</dcterms:modified>
</cp:coreProperties>
</file>